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66925"/>
  <xr:revisionPtr revIDLastSave="0" documentId="13_ncr:1_{D7CB7451-BF02-4A6D-87CC-0041313F9847}" xr6:coauthVersionLast="36" xr6:coauthVersionMax="47" xr10:uidLastSave="{00000000-0000-0000-0000-000000000000}"/>
  <bookViews>
    <workbookView xWindow="0" yWindow="0" windowWidth="26325" windowHeight="11295" xr2:uid="{00000000-000D-0000-FFFF-FFFF00000000}"/>
  </bookViews>
  <sheets>
    <sheet name="Vizein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D17" i="1"/>
  <c r="C17" i="1"/>
  <c r="B17" i="1"/>
  <c r="E20" i="1"/>
  <c r="D20" i="1"/>
  <c r="C20" i="1"/>
  <c r="B20" i="1"/>
  <c r="E18" i="1"/>
  <c r="D18" i="1"/>
  <c r="C18" i="1"/>
  <c r="B18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K4" i="1"/>
  <c r="J4" i="1"/>
  <c r="I4" i="1"/>
  <c r="H4" i="1"/>
</calcChain>
</file>

<file path=xl/sharedStrings.xml><?xml version="1.0" encoding="utf-8"?>
<sst xmlns="http://schemas.openxmlformats.org/spreadsheetml/2006/main" count="48" uniqueCount="27">
  <si>
    <t>Ásványvizek</t>
  </si>
  <si>
    <t>Kalcium</t>
  </si>
  <si>
    <t>Kálium</t>
  </si>
  <si>
    <t>Magnézium</t>
  </si>
  <si>
    <t>Nátrium</t>
  </si>
  <si>
    <t>Napi szükséglet</t>
  </si>
  <si>
    <t>Ásványianyag-tartalom 1 literben</t>
  </si>
  <si>
    <t>A napi szükséglet százaléka 1 literben</t>
  </si>
  <si>
    <t>Legnagyobb</t>
  </si>
  <si>
    <t>Átlagos</t>
  </si>
  <si>
    <t>Fonyód</t>
  </si>
  <si>
    <t>Szentkirály</t>
  </si>
  <si>
    <t>Csány</t>
  </si>
  <si>
    <t>Zalaszentgrót</t>
  </si>
  <si>
    <t>Óbuda</t>
  </si>
  <si>
    <t>Parád</t>
  </si>
  <si>
    <t>Margitsziget</t>
  </si>
  <si>
    <t>Visegrád</t>
  </si>
  <si>
    <t>Balf</t>
  </si>
  <si>
    <t>Lillafüred</t>
  </si>
  <si>
    <t>Kékkút</t>
  </si>
  <si>
    <t>Mizse</t>
  </si>
  <si>
    <t>Lelőhelye</t>
  </si>
  <si>
    <t>Ca2+</t>
  </si>
  <si>
    <t>Mg2+</t>
  </si>
  <si>
    <t>Na+</t>
  </si>
  <si>
    <t>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</si>
</sst>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&quot; mg&quot;"/>
    <numFmt numFmtId="166" formatCode="0.0&quot; mg&quot;"/>
    <numFmt numFmtId="167" formatCode="0.0%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0" fontId="2" fillId="0" borderId="1" xfId="0" applyFont="1" applyBorder="1"/>
    <xf numFmtId="166" fontId="2" fillId="0" borderId="1" xfId="0" applyNumberFormat="1" applyFont="1" applyBorder="1" applyAlignment="1">
      <alignment horizontal="right"/>
    </xf>
    <xf numFmtId="166" fontId="2" fillId="0" borderId="1" xfId="1" applyNumberFormat="1" applyFont="1" applyBorder="1" applyAlignment="1">
      <alignment horizontal="right"/>
    </xf>
    <xf numFmtId="0" fontId="2" fillId="0" borderId="0" xfId="1" applyNumberFormat="1" applyFont="1"/>
    <xf numFmtId="167" fontId="2" fillId="0" borderId="1" xfId="1" applyNumberFormat="1" applyFont="1" applyBorder="1"/>
    <xf numFmtId="164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1"/>
  <sheetViews>
    <sheetView tabSelected="1" zoomScale="130" zoomScaleNormal="130" workbookViewId="0">
      <selection activeCell="H4" sqref="H4"/>
    </sheetView>
  </sheetViews>
  <sheetFormatPr defaultColWidth="8.85546875" defaultRowHeight="14.25" x14ac:dyDescent="0.2"/>
  <cols>
    <col min="1" max="1" width="14.42578125" style="1" customWidth="1"/>
    <col min="2" max="6" width="12" style="1" customWidth="1"/>
    <col min="7" max="7" width="15.85546875" style="1" bestFit="1" customWidth="1"/>
    <col min="8" max="11" width="12" style="1" customWidth="1"/>
    <col min="12" max="12" width="8.85546875" style="1" customWidth="1"/>
    <col min="13" max="13" width="15.7109375" style="1" customWidth="1"/>
    <col min="14" max="16384" width="8.85546875" style="1"/>
  </cols>
  <sheetData>
    <row r="1" spans="1:19" ht="15.75" thickBot="1" x14ac:dyDescent="0.3">
      <c r="B1" s="16" t="s">
        <v>6</v>
      </c>
      <c r="C1" s="16"/>
      <c r="D1" s="16"/>
      <c r="E1" s="16"/>
      <c r="H1" s="16" t="s">
        <v>7</v>
      </c>
      <c r="I1" s="16"/>
      <c r="J1" s="16"/>
      <c r="K1" s="16"/>
    </row>
    <row r="2" spans="1:19" ht="17.25" thickBot="1" x14ac:dyDescent="0.25">
      <c r="A2" s="15" t="s">
        <v>0</v>
      </c>
      <c r="B2" s="2" t="s">
        <v>23</v>
      </c>
      <c r="C2" s="2" t="s">
        <v>26</v>
      </c>
      <c r="D2" s="2" t="s">
        <v>24</v>
      </c>
      <c r="E2" s="2" t="s">
        <v>25</v>
      </c>
      <c r="G2" s="15" t="s">
        <v>0</v>
      </c>
      <c r="H2" s="2" t="s">
        <v>23</v>
      </c>
      <c r="I2" s="2" t="s">
        <v>26</v>
      </c>
      <c r="J2" s="2" t="s">
        <v>24</v>
      </c>
      <c r="K2" s="2" t="s">
        <v>25</v>
      </c>
      <c r="N2" s="3"/>
      <c r="O2" s="3"/>
      <c r="P2" s="4"/>
      <c r="Q2" s="4"/>
    </row>
    <row r="3" spans="1:19" ht="15" thickBot="1" x14ac:dyDescent="0.25">
      <c r="A3" s="15"/>
      <c r="B3" s="2" t="s">
        <v>1</v>
      </c>
      <c r="C3" s="2" t="s">
        <v>2</v>
      </c>
      <c r="D3" s="2" t="s">
        <v>3</v>
      </c>
      <c r="E3" s="2" t="s">
        <v>4</v>
      </c>
      <c r="G3" s="15"/>
      <c r="H3" s="2" t="s">
        <v>1</v>
      </c>
      <c r="I3" s="2" t="s">
        <v>2</v>
      </c>
      <c r="J3" s="2" t="s">
        <v>3</v>
      </c>
      <c r="K3" s="2" t="s">
        <v>4</v>
      </c>
    </row>
    <row r="4" spans="1:19" ht="15" thickBot="1" x14ac:dyDescent="0.25">
      <c r="A4" s="5" t="s">
        <v>10</v>
      </c>
      <c r="B4" s="6">
        <v>35.1</v>
      </c>
      <c r="C4" s="6">
        <v>3.15</v>
      </c>
      <c r="D4" s="7">
        <v>15.05</v>
      </c>
      <c r="E4" s="7">
        <v>148</v>
      </c>
      <c r="F4" s="8"/>
      <c r="G4" s="5" t="s">
        <v>10</v>
      </c>
      <c r="H4" s="9">
        <f t="shared" ref="H4:H15" si="0">B4/H$17</f>
        <v>3.9E-2</v>
      </c>
      <c r="I4" s="9">
        <f t="shared" ref="I4:I15" si="1">C4/I$17</f>
        <v>8.9999999999999998E-4</v>
      </c>
      <c r="J4" s="9">
        <f t="shared" ref="J4:J15" si="2">D4/J$17</f>
        <v>4.3000000000000003E-2</v>
      </c>
      <c r="K4" s="9">
        <f t="shared" ref="K4:K15" si="3">E4/K$17</f>
        <v>7.3999999999999996E-2</v>
      </c>
      <c r="L4" s="8"/>
      <c r="Q4" s="10"/>
      <c r="R4" s="10"/>
      <c r="S4" s="10"/>
    </row>
    <row r="5" spans="1:19" ht="15" thickBot="1" x14ac:dyDescent="0.25">
      <c r="A5" s="5" t="s">
        <v>11</v>
      </c>
      <c r="B5" s="6">
        <v>71.099999999999994</v>
      </c>
      <c r="C5" s="6">
        <v>0.7</v>
      </c>
      <c r="D5" s="7">
        <v>23.8</v>
      </c>
      <c r="E5" s="7">
        <v>22</v>
      </c>
      <c r="F5" s="8"/>
      <c r="G5" s="5" t="s">
        <v>11</v>
      </c>
      <c r="H5" s="9">
        <f t="shared" si="0"/>
        <v>7.8999999999999987E-2</v>
      </c>
      <c r="I5" s="9">
        <f t="shared" si="1"/>
        <v>1.9999999999999998E-4</v>
      </c>
      <c r="J5" s="9">
        <f t="shared" si="2"/>
        <v>6.8000000000000005E-2</v>
      </c>
      <c r="K5" s="9">
        <f t="shared" si="3"/>
        <v>1.0999999999999999E-2</v>
      </c>
      <c r="L5" s="8"/>
      <c r="Q5" s="10"/>
      <c r="R5" s="10"/>
      <c r="S5" s="10"/>
    </row>
    <row r="6" spans="1:19" ht="15" thickBot="1" x14ac:dyDescent="0.25">
      <c r="A6" s="5" t="s">
        <v>12</v>
      </c>
      <c r="B6" s="6">
        <v>72</v>
      </c>
      <c r="C6" s="6">
        <v>1.05</v>
      </c>
      <c r="D6" s="7">
        <v>26.95</v>
      </c>
      <c r="E6" s="7">
        <v>44</v>
      </c>
      <c r="F6" s="8"/>
      <c r="G6" s="5" t="s">
        <v>12</v>
      </c>
      <c r="H6" s="9">
        <f t="shared" si="0"/>
        <v>0.08</v>
      </c>
      <c r="I6" s="9">
        <f t="shared" si="1"/>
        <v>3.0000000000000003E-4</v>
      </c>
      <c r="J6" s="9">
        <f t="shared" si="2"/>
        <v>7.6999999999999999E-2</v>
      </c>
      <c r="K6" s="9">
        <f t="shared" si="3"/>
        <v>2.1999999999999999E-2</v>
      </c>
      <c r="L6" s="8"/>
      <c r="Q6" s="10"/>
      <c r="R6" s="10"/>
      <c r="S6" s="10"/>
    </row>
    <row r="7" spans="1:19" ht="15" thickBot="1" x14ac:dyDescent="0.25">
      <c r="A7" s="5" t="s">
        <v>13</v>
      </c>
      <c r="B7" s="6">
        <v>90.9</v>
      </c>
      <c r="C7" s="6">
        <v>2.4500000000000002</v>
      </c>
      <c r="D7" s="7">
        <v>43.4</v>
      </c>
      <c r="E7" s="7">
        <v>16</v>
      </c>
      <c r="F7" s="8"/>
      <c r="G7" s="5" t="s">
        <v>13</v>
      </c>
      <c r="H7" s="9">
        <f t="shared" si="0"/>
        <v>0.10100000000000001</v>
      </c>
      <c r="I7" s="9">
        <f t="shared" si="1"/>
        <v>7.000000000000001E-4</v>
      </c>
      <c r="J7" s="9">
        <f t="shared" si="2"/>
        <v>0.124</v>
      </c>
      <c r="K7" s="9">
        <f t="shared" si="3"/>
        <v>8.0000000000000002E-3</v>
      </c>
      <c r="L7" s="8"/>
      <c r="Q7" s="10"/>
      <c r="R7" s="10"/>
      <c r="S7" s="10"/>
    </row>
    <row r="8" spans="1:19" ht="15" thickBot="1" x14ac:dyDescent="0.25">
      <c r="A8" s="5" t="s">
        <v>14</v>
      </c>
      <c r="B8" s="6">
        <v>102.6</v>
      </c>
      <c r="C8" s="6">
        <v>1.75</v>
      </c>
      <c r="D8" s="7">
        <v>46.9</v>
      </c>
      <c r="E8" s="7">
        <v>12</v>
      </c>
      <c r="F8" s="8"/>
      <c r="G8" s="5" t="s">
        <v>14</v>
      </c>
      <c r="H8" s="9">
        <f t="shared" si="0"/>
        <v>0.11399999999999999</v>
      </c>
      <c r="I8" s="9">
        <f t="shared" si="1"/>
        <v>5.0000000000000001E-4</v>
      </c>
      <c r="J8" s="9">
        <f t="shared" si="2"/>
        <v>0.13400000000000001</v>
      </c>
      <c r="K8" s="9">
        <f t="shared" si="3"/>
        <v>6.0000000000000001E-3</v>
      </c>
      <c r="L8" s="8"/>
      <c r="Q8" s="10"/>
      <c r="R8" s="10"/>
      <c r="S8" s="10"/>
    </row>
    <row r="9" spans="1:19" ht="15" thickBot="1" x14ac:dyDescent="0.25">
      <c r="A9" s="5" t="s">
        <v>15</v>
      </c>
      <c r="B9" s="6">
        <v>169.2</v>
      </c>
      <c r="C9" s="6">
        <v>9.1</v>
      </c>
      <c r="D9" s="7">
        <v>34.299999999999997</v>
      </c>
      <c r="E9" s="7">
        <v>164</v>
      </c>
      <c r="F9" s="8"/>
      <c r="G9" s="5" t="s">
        <v>15</v>
      </c>
      <c r="H9" s="9">
        <f t="shared" si="0"/>
        <v>0.188</v>
      </c>
      <c r="I9" s="9">
        <f t="shared" si="1"/>
        <v>2.5999999999999999E-3</v>
      </c>
      <c r="J9" s="9">
        <f t="shared" si="2"/>
        <v>9.799999999999999E-2</v>
      </c>
      <c r="K9" s="9">
        <f t="shared" si="3"/>
        <v>8.2000000000000003E-2</v>
      </c>
      <c r="L9" s="8"/>
      <c r="Q9" s="10"/>
      <c r="R9" s="10"/>
      <c r="S9" s="10"/>
    </row>
    <row r="10" spans="1:19" ht="15" thickBot="1" x14ac:dyDescent="0.25">
      <c r="A10" s="5" t="s">
        <v>16</v>
      </c>
      <c r="B10" s="6">
        <v>171.9</v>
      </c>
      <c r="C10" s="6">
        <v>15.4</v>
      </c>
      <c r="D10" s="7">
        <v>39.200000000000003</v>
      </c>
      <c r="E10" s="7">
        <v>146</v>
      </c>
      <c r="F10" s="8"/>
      <c r="G10" s="5" t="s">
        <v>16</v>
      </c>
      <c r="H10" s="9">
        <f t="shared" si="0"/>
        <v>0.191</v>
      </c>
      <c r="I10" s="9">
        <f t="shared" si="1"/>
        <v>4.4000000000000003E-3</v>
      </c>
      <c r="J10" s="9">
        <f t="shared" si="2"/>
        <v>0.112</v>
      </c>
      <c r="K10" s="9">
        <f t="shared" si="3"/>
        <v>7.2999999999999995E-2</v>
      </c>
      <c r="L10" s="8"/>
      <c r="Q10" s="10"/>
      <c r="R10" s="10"/>
      <c r="S10" s="10"/>
    </row>
    <row r="11" spans="1:19" ht="15" thickBot="1" x14ac:dyDescent="0.25">
      <c r="A11" s="5" t="s">
        <v>17</v>
      </c>
      <c r="B11" s="6">
        <v>183.6</v>
      </c>
      <c r="C11" s="6">
        <v>7.35</v>
      </c>
      <c r="D11" s="7">
        <v>61.95</v>
      </c>
      <c r="E11" s="7">
        <v>66</v>
      </c>
      <c r="F11" s="8"/>
      <c r="G11" s="5" t="s">
        <v>17</v>
      </c>
      <c r="H11" s="9">
        <f t="shared" si="0"/>
        <v>0.20399999999999999</v>
      </c>
      <c r="I11" s="9">
        <f t="shared" si="1"/>
        <v>2.0999999999999999E-3</v>
      </c>
      <c r="J11" s="9">
        <f t="shared" si="2"/>
        <v>0.17700000000000002</v>
      </c>
      <c r="K11" s="9">
        <f t="shared" si="3"/>
        <v>3.3000000000000002E-2</v>
      </c>
      <c r="L11" s="8"/>
      <c r="Q11" s="10"/>
      <c r="R11" s="10"/>
      <c r="S11" s="10"/>
    </row>
    <row r="12" spans="1:19" ht="15" thickBot="1" x14ac:dyDescent="0.25">
      <c r="A12" s="5" t="s">
        <v>18</v>
      </c>
      <c r="B12" s="6">
        <v>188.1</v>
      </c>
      <c r="C12" s="6">
        <v>10.85</v>
      </c>
      <c r="D12" s="7">
        <v>52.15</v>
      </c>
      <c r="E12" s="7">
        <v>186</v>
      </c>
      <c r="F12" s="8"/>
      <c r="G12" s="5" t="s">
        <v>18</v>
      </c>
      <c r="H12" s="9">
        <f t="shared" si="0"/>
        <v>0.20899999999999999</v>
      </c>
      <c r="I12" s="9">
        <f t="shared" si="1"/>
        <v>3.0999999999999999E-3</v>
      </c>
      <c r="J12" s="9">
        <f t="shared" si="2"/>
        <v>0.14899999999999999</v>
      </c>
      <c r="K12" s="9">
        <f t="shared" si="3"/>
        <v>9.2999999999999999E-2</v>
      </c>
      <c r="L12" s="8"/>
      <c r="Q12" s="10"/>
      <c r="R12" s="10"/>
      <c r="S12" s="10"/>
    </row>
    <row r="13" spans="1:19" ht="15" thickBot="1" x14ac:dyDescent="0.25">
      <c r="A13" s="5" t="s">
        <v>19</v>
      </c>
      <c r="B13" s="6">
        <v>103.5</v>
      </c>
      <c r="C13" s="6">
        <v>0</v>
      </c>
      <c r="D13" s="7">
        <v>20.3</v>
      </c>
      <c r="E13" s="7">
        <v>18</v>
      </c>
      <c r="F13" s="8"/>
      <c r="G13" s="5" t="s">
        <v>19</v>
      </c>
      <c r="H13" s="9">
        <f t="shared" si="0"/>
        <v>0.115</v>
      </c>
      <c r="I13" s="9">
        <f t="shared" si="1"/>
        <v>0</v>
      </c>
      <c r="J13" s="9">
        <f t="shared" si="2"/>
        <v>5.8000000000000003E-2</v>
      </c>
      <c r="K13" s="9">
        <f t="shared" si="3"/>
        <v>8.9999999999999993E-3</v>
      </c>
      <c r="L13" s="8"/>
      <c r="Q13" s="10"/>
      <c r="R13" s="10"/>
      <c r="S13" s="10"/>
    </row>
    <row r="14" spans="1:19" ht="15" thickBot="1" x14ac:dyDescent="0.25">
      <c r="A14" s="5" t="s">
        <v>20</v>
      </c>
      <c r="B14" s="6">
        <v>315</v>
      </c>
      <c r="C14" s="6">
        <v>12.95</v>
      </c>
      <c r="D14" s="7">
        <v>57.05</v>
      </c>
      <c r="E14" s="7">
        <v>38</v>
      </c>
      <c r="G14" s="5" t="s">
        <v>20</v>
      </c>
      <c r="H14" s="9">
        <f t="shared" si="0"/>
        <v>0.35</v>
      </c>
      <c r="I14" s="9">
        <f t="shared" si="1"/>
        <v>3.6999999999999997E-3</v>
      </c>
      <c r="J14" s="9">
        <f t="shared" si="2"/>
        <v>0.16299999999999998</v>
      </c>
      <c r="K14" s="9">
        <f t="shared" si="3"/>
        <v>1.9E-2</v>
      </c>
    </row>
    <row r="15" spans="1:19" ht="15" thickBot="1" x14ac:dyDescent="0.25">
      <c r="A15" s="5" t="s">
        <v>21</v>
      </c>
      <c r="B15" s="6">
        <v>67.5</v>
      </c>
      <c r="C15" s="6">
        <v>1.05</v>
      </c>
      <c r="D15" s="7">
        <v>23.8</v>
      </c>
      <c r="E15" s="7">
        <v>16</v>
      </c>
      <c r="G15" s="5" t="s">
        <v>21</v>
      </c>
      <c r="H15" s="9">
        <f t="shared" si="0"/>
        <v>7.4999999999999997E-2</v>
      </c>
      <c r="I15" s="9">
        <f t="shared" si="1"/>
        <v>3.0000000000000003E-4</v>
      </c>
      <c r="J15" s="9">
        <f t="shared" si="2"/>
        <v>6.8000000000000005E-2</v>
      </c>
      <c r="K15" s="9">
        <f t="shared" si="3"/>
        <v>8.0000000000000002E-3</v>
      </c>
    </row>
    <row r="16" spans="1:19" ht="15" thickBot="1" x14ac:dyDescent="0.25">
      <c r="B16" s="8"/>
      <c r="C16" s="8"/>
      <c r="D16" s="8"/>
      <c r="E16" s="8"/>
    </row>
    <row r="17" spans="1:11" ht="15" thickBot="1" x14ac:dyDescent="0.25">
      <c r="A17" s="2" t="s">
        <v>8</v>
      </c>
      <c r="B17" s="11">
        <f>MAX(B4:B15)</f>
        <v>315</v>
      </c>
      <c r="C17" s="11">
        <f t="shared" ref="C17:E17" si="4">MAX(C4:C15)</f>
        <v>15.4</v>
      </c>
      <c r="D17" s="11">
        <f t="shared" si="4"/>
        <v>61.95</v>
      </c>
      <c r="E17" s="11">
        <f t="shared" si="4"/>
        <v>186</v>
      </c>
      <c r="G17" s="2" t="s">
        <v>5</v>
      </c>
      <c r="H17" s="12">
        <v>900</v>
      </c>
      <c r="I17" s="12">
        <v>3500</v>
      </c>
      <c r="J17" s="13">
        <v>350</v>
      </c>
      <c r="K17" s="13">
        <v>2000</v>
      </c>
    </row>
    <row r="18" spans="1:11" ht="15" thickBot="1" x14ac:dyDescent="0.25">
      <c r="A18" s="2" t="s">
        <v>22</v>
      </c>
      <c r="B18" s="2" t="str">
        <f>INDEX($A$4:$A$15,MATCH(B17,B4:B15,0))</f>
        <v>Kékkút</v>
      </c>
      <c r="C18" s="2" t="str">
        <f>INDEX($A$4:$A$15,MATCH(C17,C4:C15,0))</f>
        <v>Margitsziget</v>
      </c>
      <c r="D18" s="2" t="str">
        <f>INDEX($A$4:$A$15,MATCH(D17,D4:D15,0))</f>
        <v>Visegrád</v>
      </c>
      <c r="E18" s="2" t="str">
        <f>INDEX($A$4:$A$15,MATCH(E17,E4:E15,0))</f>
        <v>Balf</v>
      </c>
    </row>
    <row r="19" spans="1:11" ht="15" thickBot="1" x14ac:dyDescent="0.25">
      <c r="B19" s="14"/>
      <c r="C19" s="14"/>
      <c r="D19" s="14"/>
      <c r="E19" s="14"/>
    </row>
    <row r="20" spans="1:11" ht="15" thickBot="1" x14ac:dyDescent="0.25">
      <c r="A20" s="2" t="s">
        <v>9</v>
      </c>
      <c r="B20" s="11">
        <f>AVERAGE(B4:B15)</f>
        <v>130.875</v>
      </c>
      <c r="C20" s="11">
        <f>AVERAGE(C4:C15)</f>
        <v>5.4833333333333334</v>
      </c>
      <c r="D20" s="11">
        <f>AVERAGE(D4:D15)</f>
        <v>37.070833333333333</v>
      </c>
      <c r="E20" s="11">
        <f>AVERAGE(E4:E15)</f>
        <v>73</v>
      </c>
    </row>
    <row r="21" spans="1:11" x14ac:dyDescent="0.2">
      <c r="B21" s="14"/>
      <c r="C21" s="14"/>
      <c r="D21" s="14"/>
      <c r="E21" s="14"/>
    </row>
  </sheetData>
  <mergeCells count="4">
    <mergeCell ref="G2:G3"/>
    <mergeCell ref="H1:K1"/>
    <mergeCell ref="B1:E1"/>
    <mergeCell ref="A2:A3"/>
  </mergeCells>
  <printOptions headings="1" gridLines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Vizeink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2022-07-24T08:37:37Z</dcterms:created>
  <dcterms:modified xsi:type="dcterms:W3CDTF">2026-01-22T09:03:02Z</dcterms:modified>
</cp:coreProperties>
</file>