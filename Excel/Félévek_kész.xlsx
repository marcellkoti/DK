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/>
  <mc:AlternateContent xmlns:mc="http://schemas.openxmlformats.org/markup-compatibility/2006">
    <mc:Choice Requires="x15">
      <x15ac:absPath xmlns:x15ac="http://schemas.microsoft.com/office/spreadsheetml/2010/11/ac" url="K:\Madarasz\Digit_kult\Excel\"/>
    </mc:Choice>
  </mc:AlternateContent>
  <xr:revisionPtr revIDLastSave="0" documentId="8_{42D03857-E39D-474F-8561-3E6A8BCB7900}" xr6:coauthVersionLast="36" xr6:coauthVersionMax="36" xr10:uidLastSave="{00000000-0000-0000-0000-000000000000}"/>
  <bookViews>
    <workbookView xWindow="0" yWindow="0" windowWidth="15360" windowHeight="8388" xr2:uid="{00000000-000D-0000-FFFF-FFFF00000000}"/>
  </bookViews>
  <sheets>
    <sheet name="Félévek" sheetId="1" r:id="rId1"/>
  </sheets>
  <calcPr calcId="191029"/>
  <fileRecoveryPr repairLoad="1"/>
</workbook>
</file>

<file path=xl/calcChain.xml><?xml version="1.0" encoding="utf-8"?>
<calcChain xmlns="http://schemas.openxmlformats.org/spreadsheetml/2006/main">
  <c r="T2" i="1" l="1"/>
  <c r="X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O21" i="1"/>
  <c r="O2" i="1"/>
  <c r="R3" i="1" l="1"/>
  <c r="P3" i="1" s="1"/>
  <c r="R4" i="1"/>
  <c r="P4" i="1" s="1"/>
  <c r="R5" i="1"/>
  <c r="N5" i="1" s="1"/>
  <c r="R6" i="1"/>
  <c r="N6" i="1" s="1"/>
  <c r="R7" i="1"/>
  <c r="N7" i="1" s="1"/>
  <c r="R8" i="1"/>
  <c r="P8" i="1" s="1"/>
  <c r="R9" i="1"/>
  <c r="P9" i="1" s="1"/>
  <c r="R10" i="1"/>
  <c r="P10" i="1" s="1"/>
  <c r="R11" i="1"/>
  <c r="N11" i="1" s="1"/>
  <c r="R12" i="1"/>
  <c r="N12" i="1" s="1"/>
  <c r="R13" i="1"/>
  <c r="N13" i="1" s="1"/>
  <c r="R14" i="1"/>
  <c r="P14" i="1" s="1"/>
  <c r="R15" i="1"/>
  <c r="P15" i="1" s="1"/>
  <c r="R16" i="1"/>
  <c r="P16" i="1" s="1"/>
  <c r="R17" i="1"/>
  <c r="N17" i="1" s="1"/>
  <c r="R18" i="1"/>
  <c r="N18" i="1" s="1"/>
  <c r="R2" i="1"/>
  <c r="P2" i="1" s="1"/>
  <c r="Q3" i="1"/>
  <c r="O3" i="1" s="1"/>
  <c r="Q4" i="1"/>
  <c r="O4" i="1" s="1"/>
  <c r="Q5" i="1"/>
  <c r="O5" i="1" s="1"/>
  <c r="Q6" i="1"/>
  <c r="O6" i="1" s="1"/>
  <c r="Q7" i="1"/>
  <c r="O7" i="1" s="1"/>
  <c r="Q8" i="1"/>
  <c r="O8" i="1" s="1"/>
  <c r="Q9" i="1"/>
  <c r="O9" i="1" s="1"/>
  <c r="Q10" i="1"/>
  <c r="O10" i="1" s="1"/>
  <c r="Q11" i="1"/>
  <c r="O11" i="1" s="1"/>
  <c r="Q12" i="1"/>
  <c r="O12" i="1" s="1"/>
  <c r="Q13" i="1"/>
  <c r="O13" i="1" s="1"/>
  <c r="Q14" i="1"/>
  <c r="O14" i="1" s="1"/>
  <c r="Q15" i="1"/>
  <c r="O15" i="1" s="1"/>
  <c r="Q16" i="1"/>
  <c r="O16" i="1" s="1"/>
  <c r="Q17" i="1"/>
  <c r="O17" i="1" s="1"/>
  <c r="Q18" i="1"/>
  <c r="O18" i="1" s="1"/>
  <c r="Q2" i="1"/>
  <c r="N16" i="1" l="1"/>
  <c r="N10" i="1"/>
  <c r="N4" i="1"/>
  <c r="P13" i="1"/>
  <c r="P7" i="1"/>
  <c r="N15" i="1"/>
  <c r="N9" i="1"/>
  <c r="N3" i="1"/>
  <c r="P18" i="1"/>
  <c r="P12" i="1"/>
  <c r="P6" i="1"/>
  <c r="N14" i="1"/>
  <c r="N8" i="1"/>
  <c r="P17" i="1"/>
  <c r="P11" i="1"/>
  <c r="P5" i="1"/>
  <c r="N2" i="1"/>
</calcChain>
</file>

<file path=xl/sharedStrings.xml><?xml version="1.0" encoding="utf-8"?>
<sst xmlns="http://schemas.openxmlformats.org/spreadsheetml/2006/main" count="50" uniqueCount="33">
  <si>
    <t>1. félév</t>
  </si>
  <si>
    <t>2. félév</t>
  </si>
  <si>
    <t>Vermes Miklós</t>
  </si>
  <si>
    <t>Kun Béla</t>
  </si>
  <si>
    <t>Kossuth Lajos</t>
  </si>
  <si>
    <t>Vezér Árpád</t>
  </si>
  <si>
    <t>Vezér Előd</t>
  </si>
  <si>
    <t>Deák Ferenc</t>
  </si>
  <si>
    <t>József Attila</t>
  </si>
  <si>
    <t>Tisza István</t>
  </si>
  <si>
    <t>Mária Terézia</t>
  </si>
  <si>
    <t>Neumann János</t>
  </si>
  <si>
    <t>Petőfi Sándor</t>
  </si>
  <si>
    <t>Rákóczi Ferenc</t>
  </si>
  <si>
    <t>Dózsa György</t>
  </si>
  <si>
    <t>Teller Ede</t>
  </si>
  <si>
    <t>Einstein Albert</t>
  </si>
  <si>
    <t>Gábor Dénes</t>
  </si>
  <si>
    <t>Öveges József</t>
  </si>
  <si>
    <t>Vezetéknév</t>
  </si>
  <si>
    <t>Keresztnév</t>
  </si>
  <si>
    <t>Monogram</t>
  </si>
  <si>
    <t>Teljes hossz</t>
  </si>
  <si>
    <t>Szóköz helye</t>
  </si>
  <si>
    <t>vez</t>
  </si>
  <si>
    <t>ke</t>
  </si>
  <si>
    <t>t</t>
  </si>
  <si>
    <t>Felhasználónév</t>
  </si>
  <si>
    <t>2023vezket</t>
  </si>
  <si>
    <t>Osztály</t>
  </si>
  <si>
    <t>9.e</t>
  </si>
  <si>
    <t>NAGYBETŰVEL A NÉV</t>
  </si>
  <si>
    <t>Renegát: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</si>
</sst>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V1" zoomScale="145" zoomScaleNormal="145" workbookViewId="0">
      <selection activeCell="AD2" sqref="AD2"/>
    </sheetView>
  </sheetViews>
  <sheetFormatPr defaultColWidth="12.6640625" defaultRowHeight="15" customHeight="1" x14ac:dyDescent="0.25"/>
  <cols>
    <col min="1" max="1" width="9.109375" customWidth="1"/>
    <col min="2" max="3" width="16" customWidth="1"/>
    <col min="4" max="12" width="9.109375" customWidth="1"/>
    <col min="13" max="13" width="8" customWidth="1"/>
    <col min="14" max="14" width="12.21875" bestFit="1" customWidth="1"/>
    <col min="15" max="15" width="11.77734375" bestFit="1" customWidth="1"/>
    <col min="16" max="16" width="11.44140625" bestFit="1" customWidth="1"/>
    <col min="17" max="17" width="13.109375" bestFit="1" customWidth="1"/>
    <col min="18" max="18" width="13.88671875" bestFit="1" customWidth="1"/>
    <col min="19" max="19" width="8" customWidth="1"/>
    <col min="20" max="20" width="24" customWidth="1"/>
    <col min="21" max="27" width="8" customWidth="1"/>
  </cols>
  <sheetData>
    <row r="1" spans="1:30" x14ac:dyDescent="0.25">
      <c r="A1" s="1"/>
      <c r="B1" s="1"/>
      <c r="C1" s="1" t="s">
        <v>29</v>
      </c>
      <c r="D1" s="1" t="s">
        <v>0</v>
      </c>
      <c r="E1" s="1"/>
      <c r="F1" s="1"/>
      <c r="G1" s="1"/>
      <c r="H1" s="1"/>
      <c r="I1" s="1" t="s">
        <v>1</v>
      </c>
      <c r="J1" s="1"/>
      <c r="K1" s="1"/>
      <c r="L1" s="1"/>
      <c r="M1" s="1"/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/>
      <c r="T1" s="1" t="s">
        <v>27</v>
      </c>
      <c r="U1" s="1"/>
      <c r="V1" s="1" t="s">
        <v>28</v>
      </c>
      <c r="W1" s="1" t="s">
        <v>24</v>
      </c>
      <c r="X1" s="1" t="s">
        <v>25</v>
      </c>
      <c r="Y1" s="1" t="s">
        <v>26</v>
      </c>
      <c r="Z1" s="1" t="s">
        <v>31</v>
      </c>
      <c r="AA1" s="1"/>
    </row>
    <row r="2" spans="1:30" x14ac:dyDescent="0.25">
      <c r="A2" s="1">
        <v>1</v>
      </c>
      <c r="B2" s="1" t="s">
        <v>2</v>
      </c>
      <c r="C2" s="1" t="s">
        <v>30</v>
      </c>
      <c r="D2" s="1">
        <v>2</v>
      </c>
      <c r="E2" s="1">
        <v>1</v>
      </c>
      <c r="F2" s="1">
        <v>2</v>
      </c>
      <c r="G2" s="1">
        <v>5</v>
      </c>
      <c r="H2" s="1"/>
      <c r="I2" s="1">
        <v>5</v>
      </c>
      <c r="J2" s="1">
        <v>4</v>
      </c>
      <c r="K2" s="1">
        <v>3</v>
      </c>
      <c r="L2" s="1">
        <v>4</v>
      </c>
      <c r="M2" s="1"/>
      <c r="N2" s="1" t="str">
        <f>LEFT(B2,R2-1)</f>
        <v>Vermes</v>
      </c>
      <c r="O2" s="1" t="str">
        <f>RIGHT(B2,Q2-R2)</f>
        <v>Miklós</v>
      </c>
      <c r="P2" s="1" t="str">
        <f>_xlfn.TEXTJOIN(" ",TRUE,LEFT(B2,1),MID(B2,R2+1,1))</f>
        <v>V M</v>
      </c>
      <c r="Q2" s="1">
        <f>LEN(B2)</f>
        <v>13</v>
      </c>
      <c r="R2" s="1">
        <f>SEARCH(" ",B2)</f>
        <v>7</v>
      </c>
      <c r="S2" s="1" t="str">
        <f>_xlfn.TEXTJOIN(".",TRUE, LEFT(B2,1),MID(B2,R2+1,1)," ")</f>
        <v xml:space="preserve">V.M. </v>
      </c>
      <c r="T2" s="1" t="str">
        <f>_xlfn.TEXTJOIN("",TRUE,V2,W2,X2,"_",Y2)</f>
        <v>2023vermi_e</v>
      </c>
      <c r="U2" s="1"/>
      <c r="V2" s="1">
        <v>2023</v>
      </c>
      <c r="W2" s="1" t="str">
        <f>LOWER(LEFT(B2,3))</f>
        <v>ver</v>
      </c>
      <c r="X2" s="1" t="str">
        <f>LOWER(MID(B2,R2+1,2))</f>
        <v>mi</v>
      </c>
      <c r="Y2" s="1" t="str">
        <f>RIGHT(C2,1)</f>
        <v>e</v>
      </c>
      <c r="Z2" s="1"/>
      <c r="AA2" s="1"/>
      <c r="AC2" t="s">
        <v>32</v>
      </c>
      <c r="AD2" t="s">
        <v>7</v>
      </c>
    </row>
    <row r="3" spans="1:30" x14ac:dyDescent="0.25">
      <c r="A3" s="1">
        <v>2</v>
      </c>
      <c r="B3" s="1" t="s">
        <v>3</v>
      </c>
      <c r="C3" s="1" t="s">
        <v>30</v>
      </c>
      <c r="D3" s="1">
        <v>4</v>
      </c>
      <c r="E3" s="1"/>
      <c r="F3" s="1"/>
      <c r="G3" s="1">
        <v>4</v>
      </c>
      <c r="H3" s="1"/>
      <c r="I3" s="1">
        <v>5</v>
      </c>
      <c r="J3" s="1">
        <v>5</v>
      </c>
      <c r="K3" s="1">
        <v>5</v>
      </c>
      <c r="L3" s="1">
        <v>5</v>
      </c>
      <c r="M3" s="1"/>
      <c r="N3" s="1" t="str">
        <f t="shared" ref="N3:N18" si="0">LEFT(B3,R3-1)</f>
        <v>Kun</v>
      </c>
      <c r="O3" s="1" t="str">
        <f t="shared" ref="O3:O18" si="1">RIGHT(B3,Q3-R3)</f>
        <v>Béla</v>
      </c>
      <c r="P3" s="1" t="str">
        <f t="shared" ref="P3:P18" si="2">_xlfn.TEXTJOIN(" ",TRUE,LEFT(B3,1),MID(B3,R3+1,1))</f>
        <v>K B</v>
      </c>
      <c r="Q3" s="1">
        <f t="shared" ref="Q3:Q18" si="3">LEN(B3)</f>
        <v>8</v>
      </c>
      <c r="R3" s="1">
        <f t="shared" ref="R3:R18" si="4">SEARCH(" ",B3)</f>
        <v>4</v>
      </c>
      <c r="S3" s="1" t="str">
        <f t="shared" ref="S3:S18" si="5">_xlfn.TEXTJOIN(".",TRUE, LEFT(B3,1),MID(B3,R3+1,1)," ")</f>
        <v xml:space="preserve">K.B. </v>
      </c>
      <c r="T3" s="1" t="str">
        <f t="shared" ref="T3:T18" si="6">_xlfn.TEXTJOIN("",TRUE,V3,W3,X3,"_",Y3)</f>
        <v>2023kunbé_e</v>
      </c>
      <c r="U3" s="1"/>
      <c r="V3">
        <v>2023</v>
      </c>
      <c r="W3" s="1" t="str">
        <f t="shared" ref="W3:W18" si="7">LOWER(LEFT(B3,3))</f>
        <v>kun</v>
      </c>
      <c r="X3" s="1" t="str">
        <f t="shared" ref="X3:X18" si="8">LOWER(MID(B3,R3+1,2))</f>
        <v>bé</v>
      </c>
      <c r="Y3" s="1" t="str">
        <f t="shared" ref="Y3:Y18" si="9">RIGHT(C3,1)</f>
        <v>e</v>
      </c>
      <c r="Z3" s="1"/>
      <c r="AA3" s="1"/>
    </row>
    <row r="4" spans="1:30" x14ac:dyDescent="0.25">
      <c r="A4" s="1">
        <v>3</v>
      </c>
      <c r="B4" s="1" t="s">
        <v>4</v>
      </c>
      <c r="C4" s="1" t="s">
        <v>30</v>
      </c>
      <c r="D4" s="1">
        <v>5</v>
      </c>
      <c r="E4" s="1">
        <v>4</v>
      </c>
      <c r="F4" s="1">
        <v>3</v>
      </c>
      <c r="G4" s="1">
        <v>2</v>
      </c>
      <c r="H4" s="1"/>
      <c r="I4" s="1">
        <v>5</v>
      </c>
      <c r="J4" s="1">
        <v>5</v>
      </c>
      <c r="K4" s="1">
        <v>3</v>
      </c>
      <c r="L4" s="1">
        <v>5</v>
      </c>
      <c r="M4" s="1"/>
      <c r="N4" s="1" t="str">
        <f t="shared" si="0"/>
        <v>Kossuth</v>
      </c>
      <c r="O4" s="1" t="str">
        <f t="shared" si="1"/>
        <v>Lajos</v>
      </c>
      <c r="P4" s="1" t="str">
        <f t="shared" si="2"/>
        <v>K L</v>
      </c>
      <c r="Q4" s="1">
        <f t="shared" si="3"/>
        <v>13</v>
      </c>
      <c r="R4" s="1">
        <f t="shared" si="4"/>
        <v>8</v>
      </c>
      <c r="S4" s="1" t="str">
        <f t="shared" si="5"/>
        <v xml:space="preserve">K.L. </v>
      </c>
      <c r="T4" s="1" t="str">
        <f t="shared" si="6"/>
        <v>2023kosla_e</v>
      </c>
      <c r="U4" s="1"/>
      <c r="V4" s="1">
        <v>2023</v>
      </c>
      <c r="W4" s="1" t="str">
        <f t="shared" si="7"/>
        <v>kos</v>
      </c>
      <c r="X4" s="1" t="str">
        <f t="shared" si="8"/>
        <v>la</v>
      </c>
      <c r="Y4" s="1" t="str">
        <f t="shared" si="9"/>
        <v>e</v>
      </c>
      <c r="Z4" s="1"/>
      <c r="AA4" s="1"/>
    </row>
    <row r="5" spans="1:30" x14ac:dyDescent="0.25">
      <c r="A5" s="1">
        <v>4</v>
      </c>
      <c r="B5" s="1" t="s">
        <v>5</v>
      </c>
      <c r="C5" s="1" t="s">
        <v>30</v>
      </c>
      <c r="D5" s="1">
        <v>4</v>
      </c>
      <c r="E5" s="1">
        <v>4</v>
      </c>
      <c r="F5" s="1">
        <v>1</v>
      </c>
      <c r="G5" s="1">
        <v>5</v>
      </c>
      <c r="H5" s="1"/>
      <c r="I5" s="1">
        <v>5</v>
      </c>
      <c r="J5" s="1">
        <v>5</v>
      </c>
      <c r="K5" s="1">
        <v>5</v>
      </c>
      <c r="L5" s="1">
        <v>4</v>
      </c>
      <c r="M5" s="1"/>
      <c r="N5" s="1" t="str">
        <f t="shared" si="0"/>
        <v>Vezér</v>
      </c>
      <c r="O5" s="1" t="str">
        <f t="shared" si="1"/>
        <v>Árpád</v>
      </c>
      <c r="P5" s="1" t="str">
        <f t="shared" si="2"/>
        <v>V Á</v>
      </c>
      <c r="Q5" s="1">
        <f t="shared" si="3"/>
        <v>11</v>
      </c>
      <c r="R5" s="1">
        <f t="shared" si="4"/>
        <v>6</v>
      </c>
      <c r="S5" s="1" t="str">
        <f t="shared" si="5"/>
        <v xml:space="preserve">V.Á. </v>
      </c>
      <c r="T5" s="1" t="str">
        <f t="shared" si="6"/>
        <v>2023vezár_e</v>
      </c>
      <c r="U5" s="1"/>
      <c r="V5">
        <v>2023</v>
      </c>
      <c r="W5" s="1" t="str">
        <f t="shared" si="7"/>
        <v>vez</v>
      </c>
      <c r="X5" s="1" t="str">
        <f t="shared" si="8"/>
        <v>ár</v>
      </c>
      <c r="Y5" s="1" t="str">
        <f t="shared" si="9"/>
        <v>e</v>
      </c>
      <c r="Z5" s="1"/>
      <c r="AA5" s="1"/>
    </row>
    <row r="6" spans="1:30" x14ac:dyDescent="0.25">
      <c r="A6" s="1">
        <v>5</v>
      </c>
      <c r="B6" s="1" t="s">
        <v>6</v>
      </c>
      <c r="C6" s="1" t="s">
        <v>30</v>
      </c>
      <c r="D6" s="1">
        <v>1</v>
      </c>
      <c r="E6" s="1">
        <v>1</v>
      </c>
      <c r="F6" s="1">
        <v>1</v>
      </c>
      <c r="G6" s="1">
        <v>4</v>
      </c>
      <c r="H6" s="1"/>
      <c r="I6" s="1">
        <v>5</v>
      </c>
      <c r="J6" s="1">
        <v>4</v>
      </c>
      <c r="K6" s="1">
        <v>3</v>
      </c>
      <c r="L6" s="1">
        <v>3</v>
      </c>
      <c r="M6" s="1"/>
      <c r="N6" s="1" t="str">
        <f t="shared" si="0"/>
        <v>Vezér</v>
      </c>
      <c r="O6" s="1" t="str">
        <f t="shared" si="1"/>
        <v>Előd</v>
      </c>
      <c r="P6" s="1" t="str">
        <f t="shared" si="2"/>
        <v>V E</v>
      </c>
      <c r="Q6" s="1">
        <f t="shared" si="3"/>
        <v>10</v>
      </c>
      <c r="R6" s="1">
        <f t="shared" si="4"/>
        <v>6</v>
      </c>
      <c r="S6" s="1" t="str">
        <f t="shared" si="5"/>
        <v xml:space="preserve">V.E. </v>
      </c>
      <c r="T6" s="1" t="str">
        <f t="shared" si="6"/>
        <v>2023vezel_e</v>
      </c>
      <c r="U6" s="1"/>
      <c r="V6" s="1">
        <v>2023</v>
      </c>
      <c r="W6" s="1" t="str">
        <f t="shared" si="7"/>
        <v>vez</v>
      </c>
      <c r="X6" s="1" t="str">
        <f t="shared" si="8"/>
        <v>el</v>
      </c>
      <c r="Y6" s="1" t="str">
        <f t="shared" si="9"/>
        <v>e</v>
      </c>
      <c r="Z6" s="1"/>
      <c r="AA6" s="1"/>
    </row>
    <row r="7" spans="1:30" x14ac:dyDescent="0.25">
      <c r="A7" s="1">
        <v>6</v>
      </c>
      <c r="B7" s="1" t="s">
        <v>7</v>
      </c>
      <c r="C7" s="1" t="s">
        <v>30</v>
      </c>
      <c r="D7" s="1">
        <v>3</v>
      </c>
      <c r="E7" s="1">
        <v>5</v>
      </c>
      <c r="F7" s="1">
        <v>3</v>
      </c>
      <c r="G7" s="1">
        <v>5</v>
      </c>
      <c r="H7" s="1"/>
      <c r="I7" s="1">
        <v>5</v>
      </c>
      <c r="J7" s="1">
        <v>5</v>
      </c>
      <c r="K7" s="1">
        <v>4</v>
      </c>
      <c r="L7" s="1">
        <v>4</v>
      </c>
      <c r="M7" s="1"/>
      <c r="N7" s="1" t="str">
        <f t="shared" si="0"/>
        <v>Deák</v>
      </c>
      <c r="O7" s="1" t="str">
        <f t="shared" si="1"/>
        <v>Ferenc</v>
      </c>
      <c r="P7" s="1" t="str">
        <f t="shared" si="2"/>
        <v>D F</v>
      </c>
      <c r="Q7" s="1">
        <f t="shared" si="3"/>
        <v>11</v>
      </c>
      <c r="R7" s="1">
        <f t="shared" si="4"/>
        <v>5</v>
      </c>
      <c r="S7" s="1" t="str">
        <f t="shared" si="5"/>
        <v xml:space="preserve">D.F. </v>
      </c>
      <c r="T7" s="1" t="str">
        <f t="shared" si="6"/>
        <v>2023deáfe_e</v>
      </c>
      <c r="U7" s="1"/>
      <c r="V7">
        <v>2023</v>
      </c>
      <c r="W7" s="1" t="str">
        <f t="shared" si="7"/>
        <v>deá</v>
      </c>
      <c r="X7" s="1" t="str">
        <f t="shared" si="8"/>
        <v>fe</v>
      </c>
      <c r="Y7" s="1" t="str">
        <f t="shared" si="9"/>
        <v>e</v>
      </c>
      <c r="Z7" s="1"/>
      <c r="AA7" s="1"/>
    </row>
    <row r="8" spans="1:30" x14ac:dyDescent="0.25">
      <c r="A8" s="1">
        <v>7</v>
      </c>
      <c r="B8" s="1" t="s">
        <v>8</v>
      </c>
      <c r="C8" s="1" t="s">
        <v>30</v>
      </c>
      <c r="D8" s="1">
        <v>1</v>
      </c>
      <c r="E8" s="1">
        <v>4</v>
      </c>
      <c r="F8" s="1">
        <v>3</v>
      </c>
      <c r="G8" s="1">
        <v>3</v>
      </c>
      <c r="H8" s="1"/>
      <c r="I8" s="1">
        <v>5</v>
      </c>
      <c r="J8" s="1">
        <v>5</v>
      </c>
      <c r="K8" s="1">
        <v>4</v>
      </c>
      <c r="L8" s="1">
        <v>5</v>
      </c>
      <c r="M8" s="1"/>
      <c r="N8" s="1" t="str">
        <f t="shared" si="0"/>
        <v>József</v>
      </c>
      <c r="O8" s="1" t="str">
        <f t="shared" si="1"/>
        <v>Attila</v>
      </c>
      <c r="P8" s="1" t="str">
        <f t="shared" si="2"/>
        <v>J A</v>
      </c>
      <c r="Q8" s="1">
        <f t="shared" si="3"/>
        <v>13</v>
      </c>
      <c r="R8" s="1">
        <f t="shared" si="4"/>
        <v>7</v>
      </c>
      <c r="S8" s="1" t="str">
        <f t="shared" si="5"/>
        <v xml:space="preserve">J.A. </v>
      </c>
      <c r="T8" s="1" t="str">
        <f t="shared" si="6"/>
        <v>2023józat_e</v>
      </c>
      <c r="U8" s="1"/>
      <c r="V8" s="1">
        <v>2023</v>
      </c>
      <c r="W8" s="1" t="str">
        <f t="shared" si="7"/>
        <v>józ</v>
      </c>
      <c r="X8" s="1" t="str">
        <f t="shared" si="8"/>
        <v>at</v>
      </c>
      <c r="Y8" s="1" t="str">
        <f t="shared" si="9"/>
        <v>e</v>
      </c>
      <c r="Z8" s="1"/>
      <c r="AA8" s="1"/>
    </row>
    <row r="9" spans="1:30" x14ac:dyDescent="0.25">
      <c r="A9" s="1">
        <v>8</v>
      </c>
      <c r="B9" s="1" t="s">
        <v>9</v>
      </c>
      <c r="C9" s="1" t="s">
        <v>30</v>
      </c>
      <c r="D9" s="1">
        <v>1</v>
      </c>
      <c r="E9" s="1">
        <v>2</v>
      </c>
      <c r="F9" s="1">
        <v>1</v>
      </c>
      <c r="G9" s="1">
        <v>3</v>
      </c>
      <c r="H9" s="1"/>
      <c r="I9" s="1">
        <v>3</v>
      </c>
      <c r="J9" s="1">
        <v>4</v>
      </c>
      <c r="K9" s="1">
        <v>3</v>
      </c>
      <c r="L9" s="1">
        <v>3</v>
      </c>
      <c r="M9" s="1"/>
      <c r="N9" s="1" t="str">
        <f t="shared" si="0"/>
        <v>Tisza</v>
      </c>
      <c r="O9" s="1" t="str">
        <f t="shared" si="1"/>
        <v>István</v>
      </c>
      <c r="P9" s="1" t="str">
        <f t="shared" si="2"/>
        <v>T I</v>
      </c>
      <c r="Q9" s="1">
        <f t="shared" si="3"/>
        <v>12</v>
      </c>
      <c r="R9" s="1">
        <f t="shared" si="4"/>
        <v>6</v>
      </c>
      <c r="S9" s="1" t="str">
        <f t="shared" si="5"/>
        <v xml:space="preserve">T.I. </v>
      </c>
      <c r="T9" s="1" t="str">
        <f t="shared" si="6"/>
        <v>2023tisis_e</v>
      </c>
      <c r="U9" s="1"/>
      <c r="V9">
        <v>2023</v>
      </c>
      <c r="W9" s="1" t="str">
        <f t="shared" si="7"/>
        <v>tis</v>
      </c>
      <c r="X9" s="1" t="str">
        <f t="shared" si="8"/>
        <v>is</v>
      </c>
      <c r="Y9" s="1" t="str">
        <f t="shared" si="9"/>
        <v>e</v>
      </c>
      <c r="Z9" s="1"/>
      <c r="AA9" s="1"/>
    </row>
    <row r="10" spans="1:30" x14ac:dyDescent="0.25">
      <c r="A10" s="1">
        <v>9</v>
      </c>
      <c r="B10" s="1" t="s">
        <v>10</v>
      </c>
      <c r="C10" s="1" t="s">
        <v>30</v>
      </c>
      <c r="D10" s="1">
        <v>4</v>
      </c>
      <c r="E10" s="1">
        <v>4</v>
      </c>
      <c r="F10" s="1">
        <v>3</v>
      </c>
      <c r="G10" s="1">
        <v>2</v>
      </c>
      <c r="H10" s="1"/>
      <c r="I10" s="1">
        <v>4</v>
      </c>
      <c r="J10" s="1">
        <v>5</v>
      </c>
      <c r="K10" s="1">
        <v>4</v>
      </c>
      <c r="L10" s="1">
        <v>5</v>
      </c>
      <c r="M10" s="1"/>
      <c r="N10" s="1" t="str">
        <f t="shared" si="0"/>
        <v>Mária</v>
      </c>
      <c r="O10" s="1" t="str">
        <f t="shared" si="1"/>
        <v>Terézia</v>
      </c>
      <c r="P10" s="1" t="str">
        <f t="shared" si="2"/>
        <v>M T</v>
      </c>
      <c r="Q10" s="1">
        <f t="shared" si="3"/>
        <v>13</v>
      </c>
      <c r="R10" s="1">
        <f t="shared" si="4"/>
        <v>6</v>
      </c>
      <c r="S10" s="1" t="str">
        <f t="shared" si="5"/>
        <v xml:space="preserve">M.T. </v>
      </c>
      <c r="T10" s="1" t="str">
        <f t="shared" si="6"/>
        <v>2023márte_e</v>
      </c>
      <c r="U10" s="1"/>
      <c r="V10" s="1">
        <v>2023</v>
      </c>
      <c r="W10" s="1" t="str">
        <f t="shared" si="7"/>
        <v>már</v>
      </c>
      <c r="X10" s="1" t="str">
        <f t="shared" si="8"/>
        <v>te</v>
      </c>
      <c r="Y10" s="1" t="str">
        <f t="shared" si="9"/>
        <v>e</v>
      </c>
      <c r="Z10" s="1"/>
      <c r="AA10" s="1"/>
    </row>
    <row r="11" spans="1:30" x14ac:dyDescent="0.25">
      <c r="A11" s="1">
        <v>10</v>
      </c>
      <c r="B11" s="1" t="s">
        <v>11</v>
      </c>
      <c r="C11" s="1" t="s">
        <v>30</v>
      </c>
      <c r="D11" s="1">
        <v>3</v>
      </c>
      <c r="E11" s="1">
        <v>5</v>
      </c>
      <c r="F11" s="1">
        <v>3</v>
      </c>
      <c r="G11" s="1">
        <v>5</v>
      </c>
      <c r="H11" s="1"/>
      <c r="I11" s="1">
        <v>5</v>
      </c>
      <c r="J11" s="1">
        <v>5</v>
      </c>
      <c r="K11" s="1">
        <v>5</v>
      </c>
      <c r="L11" s="1">
        <v>5</v>
      </c>
      <c r="M11" s="1"/>
      <c r="N11" s="1" t="str">
        <f t="shared" si="0"/>
        <v>Neumann</v>
      </c>
      <c r="O11" s="1" t="str">
        <f t="shared" si="1"/>
        <v>János</v>
      </c>
      <c r="P11" s="1" t="str">
        <f t="shared" si="2"/>
        <v>N J</v>
      </c>
      <c r="Q11" s="1">
        <f t="shared" si="3"/>
        <v>13</v>
      </c>
      <c r="R11" s="1">
        <f t="shared" si="4"/>
        <v>8</v>
      </c>
      <c r="S11" s="1" t="str">
        <f t="shared" si="5"/>
        <v xml:space="preserve">N.J. </v>
      </c>
      <c r="T11" s="1" t="str">
        <f t="shared" si="6"/>
        <v>2023neujá_e</v>
      </c>
      <c r="U11" s="1"/>
      <c r="V11">
        <v>2023</v>
      </c>
      <c r="W11" s="1" t="str">
        <f t="shared" si="7"/>
        <v>neu</v>
      </c>
      <c r="X11" s="1" t="str">
        <f t="shared" si="8"/>
        <v>já</v>
      </c>
      <c r="Y11" s="1" t="str">
        <f t="shared" si="9"/>
        <v>e</v>
      </c>
      <c r="Z11" s="1"/>
      <c r="AA11" s="1"/>
    </row>
    <row r="12" spans="1:30" x14ac:dyDescent="0.25">
      <c r="A12" s="1">
        <v>11</v>
      </c>
      <c r="B12" s="1" t="s">
        <v>12</v>
      </c>
      <c r="C12" s="1" t="s">
        <v>30</v>
      </c>
      <c r="D12" s="1">
        <v>3</v>
      </c>
      <c r="E12" s="1">
        <v>4</v>
      </c>
      <c r="F12" s="1">
        <v>2</v>
      </c>
      <c r="G12" s="1">
        <v>3</v>
      </c>
      <c r="H12" s="1"/>
      <c r="I12" s="1">
        <v>4</v>
      </c>
      <c r="J12" s="1">
        <v>5</v>
      </c>
      <c r="K12" s="1">
        <v>4</v>
      </c>
      <c r="L12" s="1">
        <v>5</v>
      </c>
      <c r="M12" s="1"/>
      <c r="N12" s="1" t="str">
        <f t="shared" si="0"/>
        <v>Petőfi</v>
      </c>
      <c r="O12" s="1" t="str">
        <f t="shared" si="1"/>
        <v>Sándor</v>
      </c>
      <c r="P12" s="1" t="str">
        <f t="shared" si="2"/>
        <v>P S</v>
      </c>
      <c r="Q12" s="1">
        <f t="shared" si="3"/>
        <v>13</v>
      </c>
      <c r="R12" s="1">
        <f t="shared" si="4"/>
        <v>7</v>
      </c>
      <c r="S12" s="1" t="str">
        <f t="shared" si="5"/>
        <v xml:space="preserve">P.S. </v>
      </c>
      <c r="T12" s="1" t="str">
        <f t="shared" si="6"/>
        <v>2023petsá_e</v>
      </c>
      <c r="U12" s="1"/>
      <c r="V12" s="1">
        <v>2023</v>
      </c>
      <c r="W12" s="1" t="str">
        <f t="shared" si="7"/>
        <v>pet</v>
      </c>
      <c r="X12" s="1" t="str">
        <f t="shared" si="8"/>
        <v>sá</v>
      </c>
      <c r="Y12" s="1" t="str">
        <f t="shared" si="9"/>
        <v>e</v>
      </c>
      <c r="Z12" s="1"/>
      <c r="AA12" s="1"/>
    </row>
    <row r="13" spans="1:30" x14ac:dyDescent="0.25">
      <c r="A13" s="1">
        <v>12</v>
      </c>
      <c r="B13" s="1" t="s">
        <v>13</v>
      </c>
      <c r="C13" s="1" t="s">
        <v>30</v>
      </c>
      <c r="D13" s="1">
        <v>1</v>
      </c>
      <c r="E13" s="1">
        <v>4</v>
      </c>
      <c r="F13" s="1">
        <v>1</v>
      </c>
      <c r="G13" s="1">
        <v>3</v>
      </c>
      <c r="H13" s="1"/>
      <c r="I13" s="1">
        <v>4</v>
      </c>
      <c r="J13" s="1">
        <v>4</v>
      </c>
      <c r="K13" s="1">
        <v>4</v>
      </c>
      <c r="L13" s="1">
        <v>3</v>
      </c>
      <c r="M13" s="1"/>
      <c r="N13" s="1" t="str">
        <f t="shared" si="0"/>
        <v>Rákóczi</v>
      </c>
      <c r="O13" s="1" t="str">
        <f t="shared" si="1"/>
        <v>Ferenc</v>
      </c>
      <c r="P13" s="1" t="str">
        <f t="shared" si="2"/>
        <v>R F</v>
      </c>
      <c r="Q13" s="1">
        <f t="shared" si="3"/>
        <v>14</v>
      </c>
      <c r="R13" s="1">
        <f t="shared" si="4"/>
        <v>8</v>
      </c>
      <c r="S13" s="1" t="str">
        <f t="shared" si="5"/>
        <v xml:space="preserve">R.F. </v>
      </c>
      <c r="T13" s="1" t="str">
        <f t="shared" si="6"/>
        <v>2023rákfe_e</v>
      </c>
      <c r="U13" s="1"/>
      <c r="V13">
        <v>2023</v>
      </c>
      <c r="W13" s="1" t="str">
        <f t="shared" si="7"/>
        <v>rák</v>
      </c>
      <c r="X13" s="1" t="str">
        <f t="shared" si="8"/>
        <v>fe</v>
      </c>
      <c r="Y13" s="1" t="str">
        <f t="shared" si="9"/>
        <v>e</v>
      </c>
      <c r="Z13" s="1"/>
      <c r="AA13" s="1"/>
    </row>
    <row r="14" spans="1:30" x14ac:dyDescent="0.25">
      <c r="A14" s="1">
        <v>13</v>
      </c>
      <c r="B14" s="1" t="s">
        <v>14</v>
      </c>
      <c r="C14" s="1" t="s">
        <v>30</v>
      </c>
      <c r="D14" s="1">
        <v>4</v>
      </c>
      <c r="E14" s="1">
        <v>2</v>
      </c>
      <c r="F14" s="1">
        <v>1</v>
      </c>
      <c r="G14" s="1">
        <v>3</v>
      </c>
      <c r="H14" s="1"/>
      <c r="I14" s="1">
        <v>5</v>
      </c>
      <c r="J14" s="1">
        <v>4</v>
      </c>
      <c r="K14" s="1">
        <v>4</v>
      </c>
      <c r="L14" s="1">
        <v>3</v>
      </c>
      <c r="M14" s="1"/>
      <c r="N14" s="1" t="str">
        <f t="shared" si="0"/>
        <v>Dózsa</v>
      </c>
      <c r="O14" s="1" t="str">
        <f t="shared" si="1"/>
        <v>György</v>
      </c>
      <c r="P14" s="1" t="str">
        <f t="shared" si="2"/>
        <v>D G</v>
      </c>
      <c r="Q14" s="1">
        <f t="shared" si="3"/>
        <v>12</v>
      </c>
      <c r="R14" s="1">
        <f t="shared" si="4"/>
        <v>6</v>
      </c>
      <c r="S14" s="1" t="str">
        <f t="shared" si="5"/>
        <v xml:space="preserve">D.G. </v>
      </c>
      <c r="T14" s="1" t="str">
        <f t="shared" si="6"/>
        <v>2023dózgy_e</v>
      </c>
      <c r="U14" s="1"/>
      <c r="V14" s="1">
        <v>2023</v>
      </c>
      <c r="W14" s="1" t="str">
        <f t="shared" si="7"/>
        <v>dóz</v>
      </c>
      <c r="X14" s="1" t="str">
        <f t="shared" si="8"/>
        <v>gy</v>
      </c>
      <c r="Y14" s="1" t="str">
        <f t="shared" si="9"/>
        <v>e</v>
      </c>
      <c r="Z14" s="1"/>
      <c r="AA14" s="1"/>
    </row>
    <row r="15" spans="1:30" x14ac:dyDescent="0.25">
      <c r="A15" s="1">
        <v>14</v>
      </c>
      <c r="B15" s="1" t="s">
        <v>15</v>
      </c>
      <c r="C15" s="1" t="s">
        <v>30</v>
      </c>
      <c r="D15" s="1">
        <v>3</v>
      </c>
      <c r="E15" s="1">
        <v>4</v>
      </c>
      <c r="F15" s="1">
        <v>3</v>
      </c>
      <c r="G15" s="1">
        <v>5</v>
      </c>
      <c r="H15" s="1"/>
      <c r="I15" s="1">
        <v>5</v>
      </c>
      <c r="J15" s="1">
        <v>5</v>
      </c>
      <c r="K15" s="1">
        <v>5</v>
      </c>
      <c r="L15" s="1">
        <v>5</v>
      </c>
      <c r="M15" s="1"/>
      <c r="N15" s="1" t="str">
        <f t="shared" si="0"/>
        <v>Teller</v>
      </c>
      <c r="O15" s="1" t="str">
        <f t="shared" si="1"/>
        <v>Ede</v>
      </c>
      <c r="P15" s="1" t="str">
        <f t="shared" si="2"/>
        <v>T E</v>
      </c>
      <c r="Q15" s="1">
        <f t="shared" si="3"/>
        <v>10</v>
      </c>
      <c r="R15" s="1">
        <f t="shared" si="4"/>
        <v>7</v>
      </c>
      <c r="S15" s="1" t="str">
        <f t="shared" si="5"/>
        <v xml:space="preserve">T.E. </v>
      </c>
      <c r="T15" s="1" t="str">
        <f t="shared" si="6"/>
        <v>2023teled_e</v>
      </c>
      <c r="U15" s="1"/>
      <c r="V15">
        <v>2023</v>
      </c>
      <c r="W15" s="1" t="str">
        <f t="shared" si="7"/>
        <v>tel</v>
      </c>
      <c r="X15" s="1" t="str">
        <f t="shared" si="8"/>
        <v>ed</v>
      </c>
      <c r="Y15" s="1" t="str">
        <f t="shared" si="9"/>
        <v>e</v>
      </c>
      <c r="Z15" s="1"/>
      <c r="AA15" s="1"/>
    </row>
    <row r="16" spans="1:30" x14ac:dyDescent="0.25">
      <c r="A16" s="1">
        <v>15</v>
      </c>
      <c r="B16" s="1" t="s">
        <v>16</v>
      </c>
      <c r="C16" s="1" t="s">
        <v>30</v>
      </c>
      <c r="D16" s="1">
        <v>2</v>
      </c>
      <c r="E16" s="1">
        <v>3</v>
      </c>
      <c r="F16" s="1">
        <v>3</v>
      </c>
      <c r="G16" s="1"/>
      <c r="H16" s="1"/>
      <c r="I16" s="1">
        <v>4</v>
      </c>
      <c r="J16" s="1">
        <v>5</v>
      </c>
      <c r="K16" s="1">
        <v>4</v>
      </c>
      <c r="L16" s="1">
        <v>4</v>
      </c>
      <c r="M16" s="1"/>
      <c r="N16" s="1" t="str">
        <f t="shared" si="0"/>
        <v>Einstein</v>
      </c>
      <c r="O16" s="1" t="str">
        <f t="shared" si="1"/>
        <v>Albert</v>
      </c>
      <c r="P16" s="1" t="str">
        <f t="shared" si="2"/>
        <v>E A</v>
      </c>
      <c r="Q16" s="1">
        <f t="shared" si="3"/>
        <v>15</v>
      </c>
      <c r="R16" s="1">
        <f t="shared" si="4"/>
        <v>9</v>
      </c>
      <c r="S16" s="1" t="str">
        <f t="shared" si="5"/>
        <v xml:space="preserve">E.A. </v>
      </c>
      <c r="T16" s="1" t="str">
        <f t="shared" si="6"/>
        <v>2023einal_e</v>
      </c>
      <c r="U16" s="1"/>
      <c r="V16" s="1">
        <v>2023</v>
      </c>
      <c r="W16" s="1" t="str">
        <f t="shared" si="7"/>
        <v>ein</v>
      </c>
      <c r="X16" s="1" t="str">
        <f t="shared" si="8"/>
        <v>al</v>
      </c>
      <c r="Y16" s="1" t="str">
        <f t="shared" si="9"/>
        <v>e</v>
      </c>
      <c r="Z16" s="1"/>
      <c r="AA16" s="1"/>
    </row>
    <row r="17" spans="1:27" x14ac:dyDescent="0.25">
      <c r="A17" s="1">
        <v>16</v>
      </c>
      <c r="B17" s="1" t="s">
        <v>17</v>
      </c>
      <c r="C17" s="1" t="s">
        <v>30</v>
      </c>
      <c r="D17" s="1">
        <v>3</v>
      </c>
      <c r="E17" s="1">
        <v>3</v>
      </c>
      <c r="F17" s="1">
        <v>2</v>
      </c>
      <c r="G17" s="1">
        <v>3</v>
      </c>
      <c r="H17" s="1"/>
      <c r="I17" s="1">
        <v>5</v>
      </c>
      <c r="J17" s="1">
        <v>5</v>
      </c>
      <c r="K17" s="1">
        <v>5</v>
      </c>
      <c r="L17" s="1">
        <v>5</v>
      </c>
      <c r="M17" s="1"/>
      <c r="N17" s="1" t="str">
        <f t="shared" si="0"/>
        <v>Gábor</v>
      </c>
      <c r="O17" s="1" t="str">
        <f t="shared" si="1"/>
        <v>Dénes</v>
      </c>
      <c r="P17" s="1" t="str">
        <f t="shared" si="2"/>
        <v>G D</v>
      </c>
      <c r="Q17" s="1">
        <f t="shared" si="3"/>
        <v>11</v>
      </c>
      <c r="R17" s="1">
        <f t="shared" si="4"/>
        <v>6</v>
      </c>
      <c r="S17" s="1" t="str">
        <f t="shared" si="5"/>
        <v xml:space="preserve">G.D. </v>
      </c>
      <c r="T17" s="1" t="str">
        <f t="shared" si="6"/>
        <v>2023gábdé_e</v>
      </c>
      <c r="U17" s="1"/>
      <c r="V17">
        <v>2023</v>
      </c>
      <c r="W17" s="1" t="str">
        <f t="shared" si="7"/>
        <v>gáb</v>
      </c>
      <c r="X17" s="1" t="str">
        <f t="shared" si="8"/>
        <v>dé</v>
      </c>
      <c r="Y17" s="1" t="str">
        <f t="shared" si="9"/>
        <v>e</v>
      </c>
      <c r="Z17" s="1"/>
      <c r="AA17" s="1"/>
    </row>
    <row r="18" spans="1:27" x14ac:dyDescent="0.25">
      <c r="A18" s="1">
        <v>17</v>
      </c>
      <c r="B18" s="1" t="s">
        <v>18</v>
      </c>
      <c r="C18" s="1" t="s">
        <v>30</v>
      </c>
      <c r="D18" s="1">
        <v>5</v>
      </c>
      <c r="E18" s="1">
        <v>5</v>
      </c>
      <c r="F18" s="1">
        <v>3</v>
      </c>
      <c r="G18" s="1">
        <v>5</v>
      </c>
      <c r="H18" s="1"/>
      <c r="I18" s="1">
        <v>5</v>
      </c>
      <c r="J18" s="1">
        <v>5</v>
      </c>
      <c r="K18" s="1">
        <v>5</v>
      </c>
      <c r="L18" s="1">
        <v>2</v>
      </c>
      <c r="M18" s="1"/>
      <c r="N18" s="1" t="str">
        <f t="shared" si="0"/>
        <v>Öveges</v>
      </c>
      <c r="O18" s="1" t="str">
        <f t="shared" si="1"/>
        <v>József</v>
      </c>
      <c r="P18" s="1" t="str">
        <f t="shared" si="2"/>
        <v>Ö J</v>
      </c>
      <c r="Q18" s="1">
        <f t="shared" si="3"/>
        <v>13</v>
      </c>
      <c r="R18" s="1">
        <f t="shared" si="4"/>
        <v>7</v>
      </c>
      <c r="S18" s="1" t="str">
        <f t="shared" si="5"/>
        <v xml:space="preserve">Ö.J. </v>
      </c>
      <c r="T18" s="1" t="str">
        <f t="shared" si="6"/>
        <v>2023övejó_e</v>
      </c>
      <c r="U18" s="1"/>
      <c r="V18" s="1">
        <v>2023</v>
      </c>
      <c r="W18" s="1" t="str">
        <f t="shared" si="7"/>
        <v>öve</v>
      </c>
      <c r="X18" s="1" t="str">
        <f t="shared" si="8"/>
        <v>jó</v>
      </c>
      <c r="Y18" s="1" t="str">
        <f t="shared" si="9"/>
        <v>e</v>
      </c>
      <c r="Z18" s="1"/>
      <c r="AA18" s="1"/>
    </row>
    <row r="19" spans="1:2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 t="str">
        <f>_xlfn.TEXTJOIN(";",TRUE,B2,N2,O2,Q2)</f>
        <v>Vermes Miklós;Vermes;Miklós;13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Félévek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Holczer József</dc:creator>
  <cp:lastModifiedBy>Madarász István</cp:lastModifiedBy>
  <dcterms:created xsi:type="dcterms:W3CDTF">2002-12-30T14:43:41Z</dcterms:created>
  <dcterms:modified xsi:type="dcterms:W3CDTF">2024-01-16T12:31:45Z</dcterms:modified>
</cp:coreProperties>
</file>