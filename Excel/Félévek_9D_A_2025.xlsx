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K:\Madarasz\Digit_kult\Excel\"/>
    </mc:Choice>
  </mc:AlternateContent>
  <xr:revisionPtr revIDLastSave="0" documentId="13_ncr:1_{0B91F551-CCE2-465A-B494-683A913B93B5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Félévek" sheetId="1" r:id="rId1"/>
  </sheets>
  <calcPr calcId="191029"/>
  <extLst>
    <ext uri="GoogleSheetsCustomDataVersion2">
      <go:sheetsCustomData xmlns:go="http://customooxmlschemas.google.com/" r:id="rId5" roundtripDataChecksum="i5wlgo2FL0plKHmkeh+ewIc8QctOpn7+LLPIGZEy1DE="/>
    </ext>
  </extLst>
</workbook>
</file>

<file path=xl/calcChain.xml><?xml version="1.0" encoding="utf-8"?>
<calcChain xmlns="http://schemas.openxmlformats.org/spreadsheetml/2006/main">
  <c r="I23" i="1" l="1"/>
  <c r="I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L2" i="1"/>
  <c r="E24" i="1"/>
  <c r="E27" i="1"/>
  <c r="E25" i="1"/>
  <c r="E26" i="1"/>
  <c r="E28" i="1"/>
  <c r="F22" i="1" l="1"/>
  <c r="F21" i="1"/>
  <c r="K20" i="1"/>
  <c r="F20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G3" i="1"/>
  <c r="M3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2" i="1"/>
</calcChain>
</file>

<file path=xl/sharedStrings.xml><?xml version="1.0" encoding="utf-8"?>
<sst xmlns="http://schemas.openxmlformats.org/spreadsheetml/2006/main" count="27" uniqueCount="26">
  <si>
    <t>1. félév</t>
  </si>
  <si>
    <t>2. félév</t>
  </si>
  <si>
    <t>Vermes Miklós</t>
  </si>
  <si>
    <t>Kun Béla</t>
  </si>
  <si>
    <t>Kossuth Lajos</t>
  </si>
  <si>
    <t>Vezér Árpád</t>
  </si>
  <si>
    <t>Vezér Előd</t>
  </si>
  <si>
    <t>Deák Ferenc</t>
  </si>
  <si>
    <t>József Attila</t>
  </si>
  <si>
    <t>Tisza István</t>
  </si>
  <si>
    <t>Mária Terézia</t>
  </si>
  <si>
    <t>Neumann János</t>
  </si>
  <si>
    <t>Petőfi Sándor</t>
  </si>
  <si>
    <t>Rákóczi Ferenc</t>
  </si>
  <si>
    <t>Dózsa György</t>
  </si>
  <si>
    <t>Teller Ede</t>
  </si>
  <si>
    <t>Einstein Albert</t>
  </si>
  <si>
    <t>Gábor Dénes</t>
  </si>
  <si>
    <t>Öveges József</t>
  </si>
  <si>
    <t>Átlag</t>
  </si>
  <si>
    <t>Összes jegy</t>
  </si>
  <si>
    <t>Nincs jegy:</t>
  </si>
  <si>
    <t>Öosztály létszáma:</t>
  </si>
  <si>
    <t>Jegyek:</t>
  </si>
  <si>
    <t>Éves átlag</t>
  </si>
  <si>
    <t>Ki a lejobb tanuló?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</si>
</sst>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" zoomScale="145" zoomScaleNormal="145" workbookViewId="0">
      <selection activeCell="I24" sqref="I24"/>
    </sheetView>
  </sheetViews>
  <sheetFormatPr defaultColWidth="12.5703125" defaultRowHeight="15" customHeight="1" x14ac:dyDescent="0.2"/>
  <cols>
    <col min="1" max="1" width="9.140625" customWidth="1"/>
    <col min="2" max="2" width="16" customWidth="1"/>
    <col min="3" max="11" width="9.140625" customWidth="1"/>
    <col min="12" max="12" width="8" customWidth="1"/>
    <col min="13" max="13" width="11.7109375" bestFit="1" customWidth="1"/>
    <col min="14" max="26" width="8" customWidth="1"/>
  </cols>
  <sheetData>
    <row r="1" spans="1:26" x14ac:dyDescent="0.2">
      <c r="A1" s="1"/>
      <c r="B1" s="1"/>
      <c r="C1" s="1" t="s">
        <v>0</v>
      </c>
      <c r="D1" s="1"/>
      <c r="E1" s="1"/>
      <c r="F1" s="1"/>
      <c r="G1" s="1" t="s">
        <v>19</v>
      </c>
      <c r="H1" s="1" t="s">
        <v>1</v>
      </c>
      <c r="I1" s="1"/>
      <c r="J1" s="1"/>
      <c r="K1" s="1"/>
      <c r="L1" s="1" t="s">
        <v>19</v>
      </c>
      <c r="M1" s="1" t="s">
        <v>24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>
        <v>1</v>
      </c>
      <c r="B2" s="1" t="s">
        <v>2</v>
      </c>
      <c r="C2" s="1">
        <v>2</v>
      </c>
      <c r="D2" s="1">
        <v>1</v>
      </c>
      <c r="E2" s="1">
        <v>2</v>
      </c>
      <c r="F2" s="1">
        <v>5</v>
      </c>
      <c r="G2" s="1">
        <f>AVERAGE(C2:F2)</f>
        <v>2.5</v>
      </c>
      <c r="H2" s="1">
        <v>5</v>
      </c>
      <c r="I2" s="1">
        <v>4</v>
      </c>
      <c r="J2" s="1">
        <v>3</v>
      </c>
      <c r="K2" s="1">
        <v>4</v>
      </c>
      <c r="L2" s="1">
        <f>AVERAGE(H2:K2)</f>
        <v>4</v>
      </c>
      <c r="M2" s="1">
        <f>AVERAGE(G2,L2)</f>
        <v>3.25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>
        <v>2</v>
      </c>
      <c r="B3" s="1" t="s">
        <v>3</v>
      </c>
      <c r="C3" s="1">
        <v>4</v>
      </c>
      <c r="D3" s="1"/>
      <c r="E3" s="1">
        <v>2</v>
      </c>
      <c r="F3" s="1">
        <v>4</v>
      </c>
      <c r="G3" s="1">
        <f t="shared" ref="G3:G18" si="0">AVERAGE(C3:F3)</f>
        <v>3.3333333333333335</v>
      </c>
      <c r="H3" s="1">
        <v>5</v>
      </c>
      <c r="I3" s="1">
        <v>5</v>
      </c>
      <c r="J3" s="1">
        <v>5</v>
      </c>
      <c r="K3" s="1">
        <v>5</v>
      </c>
      <c r="L3" s="1">
        <f t="shared" ref="L3:L18" si="1">AVERAGE(H3:K3)</f>
        <v>5</v>
      </c>
      <c r="M3" s="1">
        <f t="shared" ref="M3:M18" si="2">AVERAGE(G3,L3)</f>
        <v>4.166666666666667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>
        <v>3</v>
      </c>
      <c r="B4" s="1" t="s">
        <v>4</v>
      </c>
      <c r="C4" s="1">
        <v>5</v>
      </c>
      <c r="D4" s="1">
        <v>4</v>
      </c>
      <c r="E4" s="1">
        <v>3</v>
      </c>
      <c r="F4" s="1">
        <v>2</v>
      </c>
      <c r="G4" s="1">
        <f t="shared" si="0"/>
        <v>3.5</v>
      </c>
      <c r="H4" s="1">
        <v>5</v>
      </c>
      <c r="I4" s="1">
        <v>5</v>
      </c>
      <c r="J4" s="1">
        <v>3</v>
      </c>
      <c r="K4" s="1">
        <v>5</v>
      </c>
      <c r="L4" s="1">
        <f t="shared" si="1"/>
        <v>4.5</v>
      </c>
      <c r="M4" s="1">
        <f t="shared" si="2"/>
        <v>4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>
        <v>4</v>
      </c>
      <c r="B5" s="1" t="s">
        <v>5</v>
      </c>
      <c r="C5" s="1">
        <v>4</v>
      </c>
      <c r="D5" s="1">
        <v>4</v>
      </c>
      <c r="E5" s="1">
        <v>1</v>
      </c>
      <c r="F5" s="1">
        <v>5</v>
      </c>
      <c r="G5" s="1">
        <f t="shared" si="0"/>
        <v>3.5</v>
      </c>
      <c r="H5" s="1">
        <v>5</v>
      </c>
      <c r="I5" s="1">
        <v>5</v>
      </c>
      <c r="J5" s="1">
        <v>5</v>
      </c>
      <c r="K5" s="1">
        <v>4</v>
      </c>
      <c r="L5" s="1">
        <f t="shared" si="1"/>
        <v>4.75</v>
      </c>
      <c r="M5" s="1">
        <f t="shared" si="2"/>
        <v>4.125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>
        <v>5</v>
      </c>
      <c r="B6" s="1" t="s">
        <v>6</v>
      </c>
      <c r="C6" s="1">
        <v>1</v>
      </c>
      <c r="D6" s="1">
        <v>1</v>
      </c>
      <c r="E6" s="1">
        <v>1</v>
      </c>
      <c r="F6" s="1">
        <v>4</v>
      </c>
      <c r="G6" s="1">
        <f t="shared" si="0"/>
        <v>1.75</v>
      </c>
      <c r="H6" s="1">
        <v>5</v>
      </c>
      <c r="I6" s="1">
        <v>4</v>
      </c>
      <c r="J6" s="1">
        <v>3</v>
      </c>
      <c r="K6" s="1">
        <v>3</v>
      </c>
      <c r="L6" s="1">
        <f t="shared" si="1"/>
        <v>3.75</v>
      </c>
      <c r="M6" s="1">
        <f t="shared" si="2"/>
        <v>2.75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>
        <v>6</v>
      </c>
      <c r="B7" s="1" t="s">
        <v>7</v>
      </c>
      <c r="C7" s="1">
        <v>3</v>
      </c>
      <c r="D7" s="1">
        <v>5</v>
      </c>
      <c r="E7" s="1">
        <v>3</v>
      </c>
      <c r="F7" s="1">
        <v>5</v>
      </c>
      <c r="G7" s="1">
        <f t="shared" si="0"/>
        <v>4</v>
      </c>
      <c r="H7" s="1">
        <v>5</v>
      </c>
      <c r="I7" s="1">
        <v>5</v>
      </c>
      <c r="J7" s="1">
        <v>4</v>
      </c>
      <c r="K7" s="1">
        <v>4</v>
      </c>
      <c r="L7" s="1">
        <f t="shared" si="1"/>
        <v>4.5</v>
      </c>
      <c r="M7" s="1">
        <f t="shared" si="2"/>
        <v>4.25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>
        <v>7</v>
      </c>
      <c r="B8" s="1" t="s">
        <v>8</v>
      </c>
      <c r="C8" s="1">
        <v>1</v>
      </c>
      <c r="D8" s="1">
        <v>4</v>
      </c>
      <c r="E8" s="1">
        <v>3</v>
      </c>
      <c r="F8" s="1">
        <v>3</v>
      </c>
      <c r="G8" s="1">
        <f t="shared" si="0"/>
        <v>2.75</v>
      </c>
      <c r="H8" s="1">
        <v>5</v>
      </c>
      <c r="I8" s="1">
        <v>5</v>
      </c>
      <c r="J8" s="1">
        <v>4</v>
      </c>
      <c r="K8" s="1">
        <v>5</v>
      </c>
      <c r="L8" s="1">
        <f t="shared" si="1"/>
        <v>4.75</v>
      </c>
      <c r="M8" s="1">
        <f t="shared" si="2"/>
        <v>3.75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>
        <v>8</v>
      </c>
      <c r="B9" s="1" t="s">
        <v>9</v>
      </c>
      <c r="C9" s="1">
        <v>1</v>
      </c>
      <c r="D9" s="1">
        <v>2</v>
      </c>
      <c r="E9" s="1">
        <v>1</v>
      </c>
      <c r="F9" s="1">
        <v>3</v>
      </c>
      <c r="G9" s="1">
        <f t="shared" si="0"/>
        <v>1.75</v>
      </c>
      <c r="H9" s="1">
        <v>3</v>
      </c>
      <c r="I9" s="1">
        <v>4</v>
      </c>
      <c r="J9" s="1">
        <v>3</v>
      </c>
      <c r="K9" s="1">
        <v>3</v>
      </c>
      <c r="L9" s="1">
        <f t="shared" si="1"/>
        <v>3.25</v>
      </c>
      <c r="M9" s="1">
        <f t="shared" si="2"/>
        <v>2.5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>
        <v>9</v>
      </c>
      <c r="B10" s="1" t="s">
        <v>10</v>
      </c>
      <c r="C10" s="1">
        <v>4</v>
      </c>
      <c r="D10" s="1">
        <v>4</v>
      </c>
      <c r="E10" s="1">
        <v>3</v>
      </c>
      <c r="F10" s="1">
        <v>2</v>
      </c>
      <c r="G10" s="1">
        <f t="shared" si="0"/>
        <v>3.25</v>
      </c>
      <c r="H10" s="1">
        <v>4</v>
      </c>
      <c r="I10" s="1">
        <v>5</v>
      </c>
      <c r="J10" s="1">
        <v>4</v>
      </c>
      <c r="K10" s="1">
        <v>5</v>
      </c>
      <c r="L10" s="1">
        <f t="shared" si="1"/>
        <v>4.5</v>
      </c>
      <c r="M10" s="1">
        <f t="shared" si="2"/>
        <v>3.875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>
        <v>10</v>
      </c>
      <c r="B11" s="1" t="s">
        <v>11</v>
      </c>
      <c r="C11" s="1">
        <v>3</v>
      </c>
      <c r="D11" s="1">
        <v>5</v>
      </c>
      <c r="E11" s="1">
        <v>3</v>
      </c>
      <c r="F11" s="1">
        <v>5</v>
      </c>
      <c r="G11" s="1">
        <f t="shared" si="0"/>
        <v>4</v>
      </c>
      <c r="H11" s="1">
        <v>5</v>
      </c>
      <c r="I11" s="1">
        <v>5</v>
      </c>
      <c r="J11" s="1">
        <v>5</v>
      </c>
      <c r="K11" s="1">
        <v>5</v>
      </c>
      <c r="L11" s="1">
        <f t="shared" si="1"/>
        <v>5</v>
      </c>
      <c r="M11" s="1">
        <f t="shared" si="2"/>
        <v>4.5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>
        <v>11</v>
      </c>
      <c r="B12" s="1" t="s">
        <v>12</v>
      </c>
      <c r="C12" s="1">
        <v>3</v>
      </c>
      <c r="D12" s="1">
        <v>4</v>
      </c>
      <c r="E12" s="1">
        <v>2</v>
      </c>
      <c r="F12" s="1">
        <v>3</v>
      </c>
      <c r="G12" s="1">
        <f t="shared" si="0"/>
        <v>3</v>
      </c>
      <c r="H12" s="1">
        <v>4</v>
      </c>
      <c r="I12" s="1">
        <v>5</v>
      </c>
      <c r="J12" s="1">
        <v>4</v>
      </c>
      <c r="K12" s="1">
        <v>5</v>
      </c>
      <c r="L12" s="1">
        <f t="shared" si="1"/>
        <v>4.5</v>
      </c>
      <c r="M12" s="1">
        <f t="shared" si="2"/>
        <v>3.75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>
        <v>12</v>
      </c>
      <c r="B13" s="1" t="s">
        <v>13</v>
      </c>
      <c r="C13" s="1">
        <v>1</v>
      </c>
      <c r="D13" s="1">
        <v>4</v>
      </c>
      <c r="E13" s="1">
        <v>1</v>
      </c>
      <c r="F13" s="1">
        <v>3</v>
      </c>
      <c r="G13" s="1">
        <f t="shared" si="0"/>
        <v>2.25</v>
      </c>
      <c r="H13" s="1">
        <v>4</v>
      </c>
      <c r="I13" s="1">
        <v>4</v>
      </c>
      <c r="J13" s="1">
        <v>4</v>
      </c>
      <c r="K13" s="1">
        <v>3</v>
      </c>
      <c r="L13" s="1">
        <f t="shared" si="1"/>
        <v>3.75</v>
      </c>
      <c r="M13" s="1">
        <f t="shared" si="2"/>
        <v>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>
        <v>13</v>
      </c>
      <c r="B14" s="1" t="s">
        <v>14</v>
      </c>
      <c r="C14" s="1">
        <v>4</v>
      </c>
      <c r="D14" s="1">
        <v>2</v>
      </c>
      <c r="E14" s="1">
        <v>1</v>
      </c>
      <c r="F14" s="1">
        <v>3</v>
      </c>
      <c r="G14" s="1">
        <f t="shared" si="0"/>
        <v>2.5</v>
      </c>
      <c r="H14" s="1">
        <v>5</v>
      </c>
      <c r="I14" s="1">
        <v>4</v>
      </c>
      <c r="J14" s="1">
        <v>4</v>
      </c>
      <c r="K14" s="1">
        <v>3</v>
      </c>
      <c r="L14" s="1">
        <f t="shared" si="1"/>
        <v>4</v>
      </c>
      <c r="M14" s="1">
        <f t="shared" si="2"/>
        <v>3.25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>
        <v>14</v>
      </c>
      <c r="B15" s="1" t="s">
        <v>15</v>
      </c>
      <c r="C15" s="1">
        <v>3</v>
      </c>
      <c r="D15" s="1">
        <v>4</v>
      </c>
      <c r="E15" s="1">
        <v>3</v>
      </c>
      <c r="F15" s="1">
        <v>5</v>
      </c>
      <c r="G15" s="1">
        <f t="shared" si="0"/>
        <v>3.75</v>
      </c>
      <c r="H15" s="1">
        <v>5</v>
      </c>
      <c r="I15" s="1">
        <v>5</v>
      </c>
      <c r="J15" s="1">
        <v>5</v>
      </c>
      <c r="K15" s="1">
        <v>5</v>
      </c>
      <c r="L15" s="1">
        <f t="shared" si="1"/>
        <v>5</v>
      </c>
      <c r="M15" s="1">
        <f t="shared" si="2"/>
        <v>4.375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>
        <v>15</v>
      </c>
      <c r="B16" s="1" t="s">
        <v>16</v>
      </c>
      <c r="C16" s="1">
        <v>2</v>
      </c>
      <c r="D16" s="1">
        <v>3</v>
      </c>
      <c r="E16" s="1">
        <v>3</v>
      </c>
      <c r="F16" s="1"/>
      <c r="G16" s="1">
        <f t="shared" si="0"/>
        <v>2.6666666666666665</v>
      </c>
      <c r="H16" s="1">
        <v>4</v>
      </c>
      <c r="I16" s="1">
        <v>5</v>
      </c>
      <c r="J16" s="1">
        <v>4</v>
      </c>
      <c r="K16" s="1">
        <v>4</v>
      </c>
      <c r="L16" s="1">
        <f t="shared" si="1"/>
        <v>4.25</v>
      </c>
      <c r="M16" s="1">
        <f t="shared" si="2"/>
        <v>3.458333333333333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>
        <v>16</v>
      </c>
      <c r="B17" s="1" t="s">
        <v>17</v>
      </c>
      <c r="C17" s="1">
        <v>3</v>
      </c>
      <c r="D17" s="1">
        <v>3</v>
      </c>
      <c r="E17" s="1">
        <v>2</v>
      </c>
      <c r="F17" s="1">
        <v>3</v>
      </c>
      <c r="G17" s="1">
        <f t="shared" si="0"/>
        <v>2.75</v>
      </c>
      <c r="H17" s="1">
        <v>5</v>
      </c>
      <c r="I17" s="1">
        <v>5</v>
      </c>
      <c r="J17" s="1">
        <v>5</v>
      </c>
      <c r="K17" s="1">
        <v>5</v>
      </c>
      <c r="L17" s="1">
        <f t="shared" si="1"/>
        <v>5</v>
      </c>
      <c r="M17" s="1">
        <f t="shared" si="2"/>
        <v>3.875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>
        <v>17</v>
      </c>
      <c r="B18" s="1" t="s">
        <v>18</v>
      </c>
      <c r="C18" s="1">
        <v>5</v>
      </c>
      <c r="D18" s="1">
        <v>5</v>
      </c>
      <c r="E18" s="1">
        <v>3</v>
      </c>
      <c r="F18" s="1">
        <v>5</v>
      </c>
      <c r="G18" s="1">
        <f t="shared" si="0"/>
        <v>4.5</v>
      </c>
      <c r="H18" s="1">
        <v>5</v>
      </c>
      <c r="I18" s="1">
        <v>5</v>
      </c>
      <c r="J18" s="1">
        <v>5</v>
      </c>
      <c r="K18" s="1">
        <v>2</v>
      </c>
      <c r="L18" s="1">
        <f t="shared" si="1"/>
        <v>4.25</v>
      </c>
      <c r="M18" s="1">
        <f t="shared" si="2"/>
        <v>4.375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 t="s">
        <v>20</v>
      </c>
      <c r="C20" s="1"/>
      <c r="D20" s="1"/>
      <c r="E20" s="1"/>
      <c r="F20" s="2">
        <f>COUNT(C2:F18)</f>
        <v>66</v>
      </c>
      <c r="G20" s="1"/>
      <c r="H20" s="1"/>
      <c r="I20" s="1"/>
      <c r="J20" s="1"/>
      <c r="K20" s="2">
        <f>COUNT(H2:K18)</f>
        <v>68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/>
      <c r="B21" s="1" t="s">
        <v>21</v>
      </c>
      <c r="C21" s="1"/>
      <c r="D21" s="1"/>
      <c r="E21" s="1"/>
      <c r="F21" s="1">
        <f>COUNTBLANK(C2:F18)</f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/>
      <c r="B22" s="1" t="s">
        <v>22</v>
      </c>
      <c r="C22" s="1"/>
      <c r="D22" s="1"/>
      <c r="E22" s="1"/>
      <c r="F22" s="1">
        <f>COUNTA(B2:B18)</f>
        <v>17</v>
      </c>
      <c r="G22" s="1"/>
      <c r="H22" s="1"/>
      <c r="I22" s="1">
        <f>MAX(M2:M18)</f>
        <v>4.5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/>
      <c r="B23" s="1"/>
      <c r="C23" s="1"/>
      <c r="D23" s="1"/>
      <c r="E23" s="1"/>
      <c r="F23" s="1"/>
      <c r="G23" s="1"/>
      <c r="H23" s="1"/>
      <c r="I23" s="1">
        <f>MATCH(I22,M2:M18,0)</f>
        <v>10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/>
      <c r="B24" s="1"/>
      <c r="C24" s="1" t="s">
        <v>23</v>
      </c>
      <c r="D24" s="1">
        <v>1</v>
      </c>
      <c r="E24" s="1">
        <f>COUNTIF($C$2:$F$18,D24)</f>
        <v>11</v>
      </c>
      <c r="F24" s="1"/>
      <c r="G24" s="1" t="s">
        <v>25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"/>
      <c r="C25" s="1"/>
      <c r="D25" s="1">
        <v>2</v>
      </c>
      <c r="E25" s="1">
        <f t="shared" ref="E25:E28" si="3">COUNTIF($C$2:$F$18,D25)</f>
        <v>10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"/>
      <c r="C26" s="1"/>
      <c r="D26" s="1">
        <v>3</v>
      </c>
      <c r="E26" s="1">
        <f t="shared" si="3"/>
        <v>21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"/>
      <c r="C27" s="1"/>
      <c r="D27" s="1">
        <v>4</v>
      </c>
      <c r="E27" s="1">
        <f>COUNTIF($C$2:$F$18,D27)</f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"/>
      <c r="C28" s="1"/>
      <c r="D28" s="1">
        <v>5</v>
      </c>
      <c r="E28" s="1">
        <f t="shared" si="3"/>
        <v>11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Félévek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Holczer József</dc:creator>
  <cp:lastModifiedBy>Madarász István</cp:lastModifiedBy>
  <dcterms:created xsi:type="dcterms:W3CDTF">2002-12-30T14:43:41Z</dcterms:created>
  <dcterms:modified xsi:type="dcterms:W3CDTF">2025-04-04T06:46:54Z</dcterms:modified>
</cp:coreProperties>
</file>